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F1DB9BD-48CC-4AE0-AC29-AE8144C333CD}" xr6:coauthVersionLast="47" xr6:coauthVersionMax="47" xr10:uidLastSave="{00000000-0000-0000-0000-000000000000}"/>
  <bookViews>
    <workbookView xWindow="-120" yWindow="-120" windowWidth="20730" windowHeight="11160" xr2:uid="{A120E373-42F2-4166-929F-B298C7D1CE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9" i="1"/>
  <c r="J8" i="1"/>
  <c r="M10" i="1"/>
  <c r="M11" i="1"/>
  <c r="M12" i="1"/>
  <c r="M13" i="1"/>
  <c r="M14" i="1"/>
  <c r="M9" i="1"/>
  <c r="M7" i="1"/>
</calcChain>
</file>

<file path=xl/sharedStrings.xml><?xml version="1.0" encoding="utf-8"?>
<sst xmlns="http://schemas.openxmlformats.org/spreadsheetml/2006/main" count="86" uniqueCount="47">
  <si>
    <t>WORLDMARK INSURANCE BROKERS LTD</t>
  </si>
  <si>
    <t>COMMISSION AND REBATE RETURNS</t>
  </si>
  <si>
    <r>
      <rPr>
        <b/>
        <sz val="14"/>
        <color theme="1"/>
        <rFont val="Arial Rounded MT Bold"/>
        <family val="2"/>
      </rPr>
      <t>(CRR</t>
    </r>
    <r>
      <rPr>
        <b/>
        <sz val="11"/>
        <color theme="1"/>
        <rFont val="Arial Rounded MT Bold"/>
        <family val="2"/>
      </rPr>
      <t>)</t>
    </r>
  </si>
  <si>
    <t>DATE</t>
  </si>
  <si>
    <t>POLICY NO</t>
  </si>
  <si>
    <t>RISK TYPE</t>
  </si>
  <si>
    <t>NAME OF CLIENT</t>
  </si>
  <si>
    <t>NAME OF INSURER</t>
  </si>
  <si>
    <t>SUM INSURED</t>
  </si>
  <si>
    <t>GROSS PREMIUM</t>
  </si>
  <si>
    <t>APPROVED COMMISSION RATE</t>
  </si>
  <si>
    <t>TAX PAID</t>
  </si>
  <si>
    <t>NET COMMISSION RATE</t>
  </si>
  <si>
    <t xml:space="preserve">BROKERAGE COMMISSION </t>
  </si>
  <si>
    <t>OTHER DEDUCTION</t>
  </si>
  <si>
    <t>NET PREMIUM</t>
  </si>
  <si>
    <t>AMOUNT RECEIVED</t>
  </si>
  <si>
    <t>RECEIPT NO</t>
  </si>
  <si>
    <t>REMARKS</t>
  </si>
  <si>
    <t>NA</t>
  </si>
  <si>
    <t>NIL</t>
  </si>
  <si>
    <t>REGENCY</t>
  </si>
  <si>
    <t>HEIRS</t>
  </si>
  <si>
    <t>FOR THE FIRST QUARTER ENDED 31ST MARCH, 2026</t>
  </si>
  <si>
    <t>20/1/2026</t>
  </si>
  <si>
    <t>23/1/2026</t>
  </si>
  <si>
    <t>Na</t>
  </si>
  <si>
    <t>ADEWALE &amp; CO</t>
  </si>
  <si>
    <t>NEMA</t>
  </si>
  <si>
    <t>GLA</t>
  </si>
  <si>
    <t>MV</t>
  </si>
  <si>
    <t>EMPLE</t>
  </si>
  <si>
    <t>First Adequate</t>
  </si>
  <si>
    <t>23/3/2026</t>
  </si>
  <si>
    <t>30/3/2026</t>
  </si>
  <si>
    <t>mV</t>
  </si>
  <si>
    <t>ADENIYI AKINTOLA&amp; CO</t>
  </si>
  <si>
    <t>AFILMS</t>
  </si>
  <si>
    <t>PAN OROBIKA STRUCTURE LTD</t>
  </si>
  <si>
    <t>NNPC</t>
  </si>
  <si>
    <t>EMPLE INS</t>
  </si>
  <si>
    <t>ZENITH INS</t>
  </si>
  <si>
    <t>various</t>
  </si>
  <si>
    <t>apg</t>
  </si>
  <si>
    <t>motor</t>
  </si>
  <si>
    <t>na</t>
  </si>
  <si>
    <t>12..5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</si>
</sst>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4"/>
      <color theme="1"/>
      <name val="Arial Rounded MT Bold"/>
      <family val="2"/>
    </font>
    <font>
      <b/>
      <sz val="12"/>
      <color theme="1"/>
      <name val="Arial Rounded MT Bold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haroni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4" fillId="0" borderId="0" xfId="0" applyFont="1"/>
    <xf numFmtId="43" fontId="4" fillId="0" borderId="0" xfId="1" applyFont="1" applyBorder="1"/>
    <xf numFmtId="43" fontId="3" fillId="0" borderId="0" xfId="1" applyFont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43" fontId="3" fillId="0" borderId="0" xfId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 applyAlignment="1">
      <alignment horizontal="center"/>
    </xf>
    <xf numFmtId="43" fontId="3" fillId="0" borderId="1" xfId="1" applyFont="1" applyBorder="1"/>
    <xf numFmtId="43" fontId="3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164" fontId="5" fillId="0" borderId="2" xfId="1" applyNumberFormat="1" applyFont="1" applyBorder="1" applyAlignment="1">
      <alignment horizontal="center" wrapText="1"/>
    </xf>
    <xf numFmtId="43" fontId="5" fillId="0" borderId="2" xfId="1" applyFont="1" applyBorder="1" applyAlignment="1">
      <alignment wrapText="1"/>
    </xf>
    <xf numFmtId="43" fontId="5" fillId="0" borderId="2" xfId="1" applyFont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5" fillId="0" borderId="2" xfId="0" applyFont="1" applyBorder="1" applyAlignment="1">
      <alignment horizontal="left" wrapText="1"/>
    </xf>
    <xf numFmtId="43" fontId="6" fillId="0" borderId="4" xfId="1" applyFont="1" applyBorder="1"/>
    <xf numFmtId="43" fontId="5" fillId="0" borderId="2" xfId="0" applyNumberFormat="1" applyFont="1" applyBorder="1" applyAlignment="1">
      <alignment wrapText="1"/>
    </xf>
    <xf numFmtId="0" fontId="6" fillId="0" borderId="5" xfId="0" applyFont="1" applyBorder="1"/>
    <xf numFmtId="43" fontId="6" fillId="0" borderId="2" xfId="1" applyFont="1" applyBorder="1"/>
    <xf numFmtId="0" fontId="7" fillId="0" borderId="0" xfId="0" applyFont="1" applyAlignment="1">
      <alignment horizontal="center"/>
    </xf>
    <xf numFmtId="0" fontId="2" fillId="0" borderId="2" xfId="0" applyFont="1" applyBorder="1"/>
    <xf numFmtId="43" fontId="3" fillId="0" borderId="0" xfId="1" applyFont="1"/>
    <xf numFmtId="14" fontId="8" fillId="0" borderId="0" xfId="0" applyNumberFormat="1" applyFont="1" applyAlignment="1">
      <alignment horizontal="center"/>
    </xf>
    <xf numFmtId="14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164" fontId="2" fillId="0" borderId="2" xfId="1" applyNumberFormat="1" applyFont="1" applyBorder="1"/>
    <xf numFmtId="14" fontId="2" fillId="0" borderId="4" xfId="0" applyNumberFormat="1" applyFont="1" applyBorder="1"/>
    <xf numFmtId="14" fontId="2" fillId="0" borderId="2" xfId="0" applyNumberFormat="1" applyFont="1" applyBorder="1"/>
    <xf numFmtId="0" fontId="2" fillId="0" borderId="4" xfId="0" applyFont="1" applyBorder="1"/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164" fontId="2" fillId="0" borderId="6" xfId="1" applyNumberFormat="1" applyFont="1" applyBorder="1"/>
    <xf numFmtId="0" fontId="3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124B-1589-4192-BEE9-1281BC644F69}">
  <dimension ref="A1:P14"/>
  <sheetViews>
    <sheetView tabSelected="1" topLeftCell="E1" workbookViewId="0">
      <selection activeCell="H14" sqref="H14"/>
    </sheetView>
  </sheetViews>
  <sheetFormatPr defaultColWidth="9.140625" defaultRowHeight="14.25" x14ac:dyDescent="0.2"/>
  <cols>
    <col min="1" max="1" width="25.7109375" style="1" customWidth="1"/>
    <col min="2" max="2" width="24.140625" style="2" customWidth="1"/>
    <col min="3" max="3" width="40.42578125" style="2" customWidth="1"/>
    <col min="4" max="4" width="27.7109375" style="2" customWidth="1"/>
    <col min="5" max="5" width="28.7109375" style="2" customWidth="1"/>
    <col min="6" max="6" width="19.140625" style="2" customWidth="1"/>
    <col min="7" max="7" width="21.28515625" style="1" customWidth="1"/>
    <col min="8" max="9" width="18" style="2" customWidth="1"/>
    <col min="10" max="10" width="15.42578125" style="2" customWidth="1"/>
    <col min="11" max="11" width="30.42578125" style="29" customWidth="1"/>
    <col min="12" max="12" width="14.85546875" style="2" customWidth="1"/>
    <col min="13" max="13" width="25.5703125" style="2" customWidth="1"/>
    <col min="14" max="14" width="25" style="7" customWidth="1"/>
    <col min="15" max="15" width="17.28515625" style="2" customWidth="1"/>
    <col min="16" max="16" width="24.140625" style="2" customWidth="1"/>
    <col min="17" max="16384" width="9.140625" style="2"/>
  </cols>
  <sheetData>
    <row r="1" spans="1:16" ht="18" x14ac:dyDescent="0.25">
      <c r="C1" s="3" t="s">
        <v>0</v>
      </c>
      <c r="E1" s="3"/>
      <c r="F1" s="1"/>
      <c r="G1" s="4"/>
      <c r="H1" s="5"/>
      <c r="I1" s="3"/>
      <c r="J1" s="5"/>
      <c r="K1" s="6"/>
    </row>
    <row r="2" spans="1:16" ht="18" x14ac:dyDescent="0.25">
      <c r="C2" s="3" t="s">
        <v>1</v>
      </c>
      <c r="D2" s="2" t="s">
        <v>2</v>
      </c>
      <c r="E2" s="3"/>
      <c r="F2" s="1"/>
      <c r="G2" s="4"/>
      <c r="H2" s="5"/>
      <c r="I2" s="3"/>
      <c r="J2" s="5"/>
      <c r="K2" s="6"/>
    </row>
    <row r="3" spans="1:16" ht="18" x14ac:dyDescent="0.25">
      <c r="C3" s="3" t="s">
        <v>23</v>
      </c>
      <c r="E3" s="3"/>
      <c r="F3" s="1"/>
      <c r="G3" s="4"/>
      <c r="H3" s="5"/>
      <c r="I3" s="3"/>
      <c r="J3" s="5"/>
      <c r="K3" s="6"/>
    </row>
    <row r="4" spans="1:16" x14ac:dyDescent="0.2">
      <c r="C4" s="1"/>
      <c r="E4" s="1"/>
      <c r="F4" s="1"/>
      <c r="G4" s="8"/>
      <c r="I4" s="1"/>
      <c r="K4" s="9"/>
    </row>
    <row r="5" spans="1:16" x14ac:dyDescent="0.2">
      <c r="A5" s="10"/>
      <c r="B5" s="11"/>
      <c r="C5" s="10"/>
      <c r="D5" s="10"/>
      <c r="E5" s="10"/>
      <c r="F5" s="10"/>
      <c r="G5" s="12"/>
      <c r="H5" s="11"/>
      <c r="I5" s="10"/>
      <c r="J5" s="11"/>
      <c r="K5" s="13"/>
      <c r="L5" s="11"/>
      <c r="M5" s="11"/>
      <c r="N5" s="14"/>
      <c r="O5" s="11"/>
      <c r="P5" s="11"/>
    </row>
    <row r="6" spans="1:16" ht="45.75" thickBot="1" x14ac:dyDescent="0.25">
      <c r="A6" s="15" t="s">
        <v>3</v>
      </c>
      <c r="B6" s="15" t="s">
        <v>4</v>
      </c>
      <c r="C6" s="15" t="s">
        <v>5</v>
      </c>
      <c r="D6" s="16" t="s">
        <v>6</v>
      </c>
      <c r="E6" s="15" t="s">
        <v>7</v>
      </c>
      <c r="F6" s="15" t="s">
        <v>8</v>
      </c>
      <c r="G6" s="17" t="s">
        <v>9</v>
      </c>
      <c r="H6" s="16" t="s">
        <v>10</v>
      </c>
      <c r="I6" s="15" t="s">
        <v>11</v>
      </c>
      <c r="J6" s="16" t="s">
        <v>12</v>
      </c>
      <c r="K6" s="18" t="s">
        <v>13</v>
      </c>
      <c r="L6" s="16" t="s">
        <v>14</v>
      </c>
      <c r="M6" s="16" t="s">
        <v>15</v>
      </c>
      <c r="N6" s="19" t="s">
        <v>16</v>
      </c>
      <c r="O6" s="16" t="s">
        <v>17</v>
      </c>
      <c r="P6" s="16" t="s">
        <v>18</v>
      </c>
    </row>
    <row r="7" spans="1:16" ht="15.75" x14ac:dyDescent="0.25">
      <c r="A7" s="30" t="s">
        <v>24</v>
      </c>
      <c r="B7" s="16" t="s">
        <v>26</v>
      </c>
      <c r="C7" s="20" t="s">
        <v>29</v>
      </c>
      <c r="D7" s="30" t="s">
        <v>27</v>
      </c>
      <c r="E7" s="21" t="s">
        <v>31</v>
      </c>
      <c r="F7" s="22" t="s">
        <v>19</v>
      </c>
      <c r="G7" s="23">
        <v>153000</v>
      </c>
      <c r="H7" s="16">
        <v>9</v>
      </c>
      <c r="I7" s="15">
        <v>0</v>
      </c>
      <c r="J7" s="16">
        <v>9</v>
      </c>
      <c r="K7" s="32">
        <v>13802.6</v>
      </c>
      <c r="L7" s="16">
        <v>0</v>
      </c>
      <c r="M7" s="24">
        <f>G7-K7</f>
        <v>139197.4</v>
      </c>
      <c r="N7" s="23">
        <v>153000</v>
      </c>
      <c r="O7" s="16" t="s">
        <v>20</v>
      </c>
      <c r="P7" s="16" t="s">
        <v>20</v>
      </c>
    </row>
    <row r="8" spans="1:16" ht="15.75" x14ac:dyDescent="0.25">
      <c r="A8" s="31" t="s">
        <v>25</v>
      </c>
      <c r="B8" s="16" t="s">
        <v>26</v>
      </c>
      <c r="C8" s="25" t="s">
        <v>30</v>
      </c>
      <c r="D8" s="28" t="s">
        <v>28</v>
      </c>
      <c r="E8" s="26" t="s">
        <v>32</v>
      </c>
      <c r="F8" s="22" t="s">
        <v>19</v>
      </c>
      <c r="G8" s="26" t="s">
        <v>19</v>
      </c>
      <c r="H8" s="16">
        <v>12.5</v>
      </c>
      <c r="I8" s="15">
        <v>0</v>
      </c>
      <c r="J8" s="16">
        <f>H8</f>
        <v>12.5</v>
      </c>
      <c r="K8" s="33">
        <v>1015000</v>
      </c>
      <c r="L8" s="16">
        <v>0</v>
      </c>
      <c r="M8" s="24" t="s">
        <v>19</v>
      </c>
      <c r="N8" s="26" t="s">
        <v>20</v>
      </c>
      <c r="O8" s="16" t="s">
        <v>20</v>
      </c>
      <c r="P8" s="16" t="s">
        <v>20</v>
      </c>
    </row>
    <row r="9" spans="1:16" ht="16.5" thickBot="1" x14ac:dyDescent="0.3">
      <c r="A9" s="31">
        <v>46328</v>
      </c>
      <c r="B9" s="16" t="s">
        <v>26</v>
      </c>
      <c r="C9" s="25" t="s">
        <v>35</v>
      </c>
      <c r="D9" s="28" t="s">
        <v>28</v>
      </c>
      <c r="E9" s="26" t="s">
        <v>32</v>
      </c>
      <c r="F9" s="22" t="s">
        <v>19</v>
      </c>
      <c r="G9" s="26">
        <v>380625</v>
      </c>
      <c r="H9" s="37" t="s">
        <v>46</v>
      </c>
      <c r="I9" s="38">
        <v>0</v>
      </c>
      <c r="J9" s="37" t="str">
        <f>H9</f>
        <v>12..5</v>
      </c>
      <c r="K9" s="39">
        <v>76125</v>
      </c>
      <c r="L9" s="16">
        <v>0</v>
      </c>
      <c r="M9" s="24">
        <f>G9-K9</f>
        <v>304500</v>
      </c>
      <c r="N9" s="26" t="s">
        <v>20</v>
      </c>
      <c r="O9" s="16" t="s">
        <v>20</v>
      </c>
      <c r="P9" s="16" t="s">
        <v>20</v>
      </c>
    </row>
    <row r="10" spans="1:16" ht="16.5" thickBot="1" x14ac:dyDescent="0.3">
      <c r="A10" s="34">
        <v>46176</v>
      </c>
      <c r="B10" s="16" t="s">
        <v>26</v>
      </c>
      <c r="C10" s="25" t="s">
        <v>29</v>
      </c>
      <c r="D10" s="36" t="s">
        <v>36</v>
      </c>
      <c r="E10" s="36" t="s">
        <v>40</v>
      </c>
      <c r="F10" s="22" t="s">
        <v>19</v>
      </c>
      <c r="G10" s="36">
        <v>45360</v>
      </c>
      <c r="H10" s="16">
        <v>9</v>
      </c>
      <c r="I10" s="38">
        <v>0</v>
      </c>
      <c r="J10" s="37">
        <f t="shared" ref="J10:J14" si="0">H10</f>
        <v>9</v>
      </c>
      <c r="K10" s="28">
        <v>4082.4</v>
      </c>
      <c r="L10" s="16">
        <v>0</v>
      </c>
      <c r="M10" s="24">
        <f t="shared" ref="M10:M14" si="1">G10-K10</f>
        <v>41277.599999999999</v>
      </c>
      <c r="N10" s="36">
        <v>45360</v>
      </c>
      <c r="O10" s="16" t="s">
        <v>20</v>
      </c>
      <c r="P10" s="16" t="s">
        <v>20</v>
      </c>
    </row>
    <row r="11" spans="1:16" ht="16.5" thickBot="1" x14ac:dyDescent="0.3">
      <c r="A11" s="35">
        <v>46268</v>
      </c>
      <c r="B11" s="16" t="s">
        <v>26</v>
      </c>
      <c r="C11" s="27" t="s">
        <v>42</v>
      </c>
      <c r="D11" s="28" t="s">
        <v>37</v>
      </c>
      <c r="E11" s="28" t="s">
        <v>21</v>
      </c>
      <c r="F11" s="22" t="s">
        <v>19</v>
      </c>
      <c r="G11" s="28">
        <v>1347644</v>
      </c>
      <c r="H11" s="40">
        <v>20</v>
      </c>
      <c r="I11" s="38">
        <v>0</v>
      </c>
      <c r="J11" s="37">
        <f t="shared" si="0"/>
        <v>20</v>
      </c>
      <c r="K11" s="28">
        <v>269528.8</v>
      </c>
      <c r="L11" s="16">
        <v>0</v>
      </c>
      <c r="M11" s="24">
        <f t="shared" si="1"/>
        <v>1078115.2</v>
      </c>
      <c r="N11" s="36">
        <v>1347644</v>
      </c>
      <c r="O11" s="16" t="s">
        <v>20</v>
      </c>
      <c r="P11" s="16" t="s">
        <v>20</v>
      </c>
    </row>
    <row r="12" spans="1:16" ht="16.5" thickBot="1" x14ac:dyDescent="0.3">
      <c r="A12" s="28" t="s">
        <v>33</v>
      </c>
      <c r="B12" s="16" t="s">
        <v>26</v>
      </c>
      <c r="C12" s="28" t="s">
        <v>43</v>
      </c>
      <c r="D12" s="28" t="s">
        <v>38</v>
      </c>
      <c r="E12" s="28" t="s">
        <v>41</v>
      </c>
      <c r="F12" s="22" t="s">
        <v>19</v>
      </c>
      <c r="G12" s="28">
        <v>439470</v>
      </c>
      <c r="H12" s="40">
        <v>20</v>
      </c>
      <c r="I12" s="38">
        <v>0</v>
      </c>
      <c r="J12" s="37">
        <f t="shared" si="0"/>
        <v>20</v>
      </c>
      <c r="K12" s="28">
        <v>90091.37</v>
      </c>
      <c r="L12" s="16">
        <v>0</v>
      </c>
      <c r="M12" s="24">
        <f t="shared" si="1"/>
        <v>349378.63</v>
      </c>
      <c r="N12" s="36">
        <v>439470</v>
      </c>
      <c r="O12" s="16" t="s">
        <v>20</v>
      </c>
      <c r="P12" s="16" t="s">
        <v>20</v>
      </c>
    </row>
    <row r="13" spans="1:16" ht="16.5" thickBot="1" x14ac:dyDescent="0.3">
      <c r="A13" s="28" t="s">
        <v>33</v>
      </c>
      <c r="B13" s="16" t="s">
        <v>26</v>
      </c>
      <c r="C13" s="28" t="s">
        <v>43</v>
      </c>
      <c r="D13" s="28" t="s">
        <v>38</v>
      </c>
      <c r="E13" s="28" t="s">
        <v>41</v>
      </c>
      <c r="F13" s="22" t="s">
        <v>19</v>
      </c>
      <c r="G13" s="28">
        <v>2568413.12</v>
      </c>
      <c r="H13" s="40">
        <v>20</v>
      </c>
      <c r="I13" s="38">
        <v>0</v>
      </c>
      <c r="J13" s="37">
        <f t="shared" si="0"/>
        <v>20</v>
      </c>
      <c r="K13" s="28">
        <v>526524.67000000004</v>
      </c>
      <c r="L13" s="16">
        <v>0</v>
      </c>
      <c r="M13" s="24">
        <f t="shared" si="1"/>
        <v>2041888.4500000002</v>
      </c>
      <c r="N13" s="36">
        <v>2568413.12</v>
      </c>
      <c r="O13" s="16" t="s">
        <v>20</v>
      </c>
      <c r="P13" s="16" t="s">
        <v>20</v>
      </c>
    </row>
    <row r="14" spans="1:16" ht="15.75" x14ac:dyDescent="0.25">
      <c r="A14" s="28" t="s">
        <v>34</v>
      </c>
      <c r="B14" s="2" t="s">
        <v>45</v>
      </c>
      <c r="C14" s="2" t="s">
        <v>44</v>
      </c>
      <c r="D14" s="28" t="s">
        <v>39</v>
      </c>
      <c r="E14" s="28" t="s">
        <v>22</v>
      </c>
      <c r="F14" s="22" t="s">
        <v>19</v>
      </c>
      <c r="G14" s="28">
        <v>95662710.739999995</v>
      </c>
      <c r="H14" s="40">
        <v>12.5</v>
      </c>
      <c r="I14" s="38">
        <v>0</v>
      </c>
      <c r="J14" s="37">
        <f t="shared" si="0"/>
        <v>12.5</v>
      </c>
      <c r="K14" s="28">
        <v>11935315.59</v>
      </c>
      <c r="L14" s="16">
        <v>0</v>
      </c>
      <c r="M14" s="24">
        <f t="shared" si="1"/>
        <v>83727395.149999991</v>
      </c>
      <c r="N14" s="36">
        <v>95662710.739999995</v>
      </c>
      <c r="O14" s="16" t="s">
        <v>20</v>
      </c>
      <c r="P14" s="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akinsanya</dc:creator>
  <cp:lastModifiedBy>gbenga akinsanya</cp:lastModifiedBy>
  <dcterms:created xsi:type="dcterms:W3CDTF">2026-04-30T18:46:02Z</dcterms:created>
  <dcterms:modified xsi:type="dcterms:W3CDTF">2026-04-30T19:29:07Z</dcterms:modified>
</cp:coreProperties>
</file>