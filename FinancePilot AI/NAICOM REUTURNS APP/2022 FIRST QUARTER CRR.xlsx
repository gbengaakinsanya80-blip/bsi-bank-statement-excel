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A57FC14-E787-4273-81F7-9E13834917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3" i="1" l="1"/>
  <c r="M14" i="1"/>
  <c r="M11" i="1"/>
  <c r="M16" i="1"/>
  <c r="M17" i="1"/>
  <c r="M15" i="1"/>
</calcChain>
</file>

<file path=xl/sharedStrings.xml><?xml version="1.0" encoding="utf-8"?>
<sst xmlns="http://schemas.openxmlformats.org/spreadsheetml/2006/main" count="134" uniqueCount="49">
  <si>
    <t>WORLDMARK INSURANCE BROKERS LTD</t>
  </si>
  <si>
    <t>COMMISSION AND REBATE RETURNS</t>
  </si>
  <si>
    <r>
      <rPr>
        <sz val="14"/>
        <color theme="1"/>
        <rFont val="Arial Rounded MT Bold"/>
        <family val="2"/>
      </rPr>
      <t>(CRR</t>
    </r>
    <r>
      <rPr>
        <sz val="11"/>
        <color theme="1"/>
        <rFont val="Arial Rounded MT Bold"/>
        <family val="2"/>
      </rPr>
      <t>)</t>
    </r>
  </si>
  <si>
    <t>DATE</t>
  </si>
  <si>
    <t>POLICY NO</t>
  </si>
  <si>
    <t>RISK TYPE</t>
  </si>
  <si>
    <t>NAME OF CLIENT</t>
  </si>
  <si>
    <t>NAME OF INSURER</t>
  </si>
  <si>
    <t>SUM INSURED</t>
  </si>
  <si>
    <t>GROSS PREMIUM</t>
  </si>
  <si>
    <t>APPROVED COMMISSION RATE</t>
  </si>
  <si>
    <t>TAX PAID</t>
  </si>
  <si>
    <t>NET COMMISSION RATE</t>
  </si>
  <si>
    <t xml:space="preserve">BROKERAGE COMMISSION </t>
  </si>
  <si>
    <t>OTHER DEDUCTION</t>
  </si>
  <si>
    <t>NET PREMIUM</t>
  </si>
  <si>
    <t>AMOUNT RECEIVED</t>
  </si>
  <si>
    <t>RECEIPT NO</t>
  </si>
  <si>
    <t>REMARKS</t>
  </si>
  <si>
    <t>NA</t>
  </si>
  <si>
    <t>MOTOR</t>
  </si>
  <si>
    <t>NEM</t>
  </si>
  <si>
    <t>NIL</t>
  </si>
  <si>
    <t>NBBRI</t>
  </si>
  <si>
    <t>HOS</t>
  </si>
  <si>
    <t>OLD MUTUAL</t>
  </si>
  <si>
    <t>FOR THE FIRST  QUARTER ENDED 30TH MARCH, 2022</t>
  </si>
  <si>
    <t>14/3/2022</t>
  </si>
  <si>
    <t>17/3/2022</t>
  </si>
  <si>
    <t>18/3/2022</t>
  </si>
  <si>
    <t>FIRE/BURGLARY</t>
  </si>
  <si>
    <t>GLOBAL POLICIES</t>
  </si>
  <si>
    <t>CFTL</t>
  </si>
  <si>
    <t>ODIVI COMM</t>
  </si>
  <si>
    <t>LAGOSSTATE GOVT</t>
  </si>
  <si>
    <t>NEM/LINKAGE</t>
  </si>
  <si>
    <t>AIICO</t>
  </si>
  <si>
    <t>CUSTODIAN</t>
  </si>
  <si>
    <t>NPA</t>
  </si>
  <si>
    <t>28/2/2022</t>
  </si>
  <si>
    <t>21/2/2022</t>
  </si>
  <si>
    <t>15/2/2022</t>
  </si>
  <si>
    <t>CBN</t>
  </si>
  <si>
    <t>CBO</t>
  </si>
  <si>
    <t>14/1/2022</t>
  </si>
  <si>
    <t>ADEWALE BELLO</t>
  </si>
  <si>
    <t>GROUP LIFE</t>
  </si>
  <si>
    <t>MARINE</t>
  </si>
  <si>
    <t>KADEB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</si>
</sst>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Rounded MT Bold"/>
      <family val="2"/>
    </font>
    <font>
      <b/>
      <sz val="14"/>
      <color theme="1"/>
      <name val="Arial Rounded MT Bold"/>
      <family val="2"/>
    </font>
    <font>
      <sz val="14"/>
      <color theme="1"/>
      <name val="Arial Rounded MT Bold"/>
      <family val="2"/>
    </font>
    <font>
      <b/>
      <sz val="12"/>
      <color theme="1"/>
      <name val="Arial Rounded MT Bold"/>
      <family val="2"/>
    </font>
    <font>
      <sz val="12"/>
      <color theme="1"/>
      <name val="Calibri"/>
      <family val="2"/>
      <scheme val="minor"/>
    </font>
    <font>
      <sz val="8"/>
      <color theme="1"/>
      <name val="Arial Rounded MT Bold"/>
      <family val="2"/>
    </font>
    <font>
      <sz val="9"/>
      <color theme="1"/>
      <name val="Arial Rounded MT Bold"/>
      <family val="2"/>
    </font>
    <font>
      <sz val="12"/>
      <color theme="1"/>
      <name val="Arial Rounded MT Bold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43" fontId="3" fillId="0" borderId="0" xfId="1" applyNumberFormat="1" applyFont="1" applyBorder="1" applyAlignment="1">
      <alignment horizontal="center"/>
    </xf>
    <xf numFmtId="0" fontId="3" fillId="0" borderId="0" xfId="0" applyFont="1"/>
    <xf numFmtId="164" fontId="3" fillId="0" borderId="0" xfId="1" applyFont="1" applyBorder="1"/>
    <xf numFmtId="43" fontId="2" fillId="0" borderId="0" xfId="1" applyNumberFormat="1" applyFont="1" applyBorder="1" applyAlignment="1">
      <alignment horizontal="center"/>
    </xf>
    <xf numFmtId="164" fontId="2" fillId="0" borderId="0" xfId="1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43" fontId="2" fillId="0" borderId="1" xfId="1" applyNumberFormat="1" applyFont="1" applyBorder="1" applyAlignment="1">
      <alignment horizontal="center"/>
    </xf>
    <xf numFmtId="164" fontId="2" fillId="0" borderId="1" xfId="1" applyFont="1" applyBorder="1"/>
    <xf numFmtId="0" fontId="5" fillId="0" borderId="2" xfId="0" applyFont="1" applyBorder="1" applyAlignment="1">
      <alignment horizontal="center" wrapText="1"/>
    </xf>
    <xf numFmtId="0" fontId="5" fillId="0" borderId="2" xfId="0" applyFont="1" applyBorder="1" applyAlignment="1">
      <alignment wrapText="1"/>
    </xf>
    <xf numFmtId="43" fontId="5" fillId="0" borderId="2" xfId="1" applyNumberFormat="1" applyFont="1" applyBorder="1" applyAlignment="1">
      <alignment horizontal="center" wrapText="1"/>
    </xf>
    <xf numFmtId="164" fontId="5" fillId="0" borderId="2" xfId="1" applyFont="1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2" xfId="0" applyBorder="1"/>
    <xf numFmtId="164" fontId="0" fillId="0" borderId="2" xfId="1" applyFont="1" applyBorder="1"/>
    <xf numFmtId="0" fontId="7" fillId="0" borderId="2" xfId="0" applyFont="1" applyBorder="1" applyAlignment="1">
      <alignment horizontal="center"/>
    </xf>
    <xf numFmtId="164" fontId="8" fillId="0" borderId="2" xfId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164" fontId="0" fillId="0" borderId="0" xfId="0" applyNumberFormat="1"/>
    <xf numFmtId="0" fontId="8" fillId="0" borderId="2" xfId="0" applyFont="1" applyBorder="1" applyAlignment="1">
      <alignment horizontal="center" wrapText="1"/>
    </xf>
    <xf numFmtId="164" fontId="6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0" xfId="1" applyFont="1"/>
    <xf numFmtId="0" fontId="9" fillId="0" borderId="2" xfId="0" applyFont="1" applyBorder="1" applyAlignment="1">
      <alignment horizontal="center" wrapText="1"/>
    </xf>
    <xf numFmtId="164" fontId="0" fillId="0" borderId="2" xfId="0" applyNumberFormat="1" applyBorder="1"/>
    <xf numFmtId="43" fontId="0" fillId="0" borderId="3" xfId="1" applyNumberFormat="1" applyFont="1" applyBorder="1"/>
    <xf numFmtId="43" fontId="0" fillId="0" borderId="2" xfId="1" applyNumberFormat="1" applyFont="1" applyBorder="1"/>
    <xf numFmtId="43" fontId="6" fillId="0" borderId="2" xfId="0" applyNumberFormat="1" applyFont="1" applyBorder="1"/>
    <xf numFmtId="165" fontId="10" fillId="0" borderId="2" xfId="2" applyNumberFormat="1" applyFont="1" applyBorder="1"/>
    <xf numFmtId="165" fontId="11" fillId="0" borderId="2" xfId="2" applyNumberFormat="1" applyFont="1" applyBorder="1"/>
    <xf numFmtId="14" fontId="6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0" fontId="6" fillId="0" borderId="2" xfId="0" applyFont="1" applyBorder="1" applyAlignment="1">
      <alignment horizontal="center"/>
    </xf>
    <xf numFmtId="164" fontId="6" fillId="0" borderId="2" xfId="1" applyFont="1" applyBorder="1" applyAlignment="1">
      <alignment horizontal="center"/>
    </xf>
    <xf numFmtId="43" fontId="9" fillId="0" borderId="2" xfId="1" applyNumberFormat="1" applyFont="1" applyBorder="1" applyAlignment="1">
      <alignment horizontal="center" wrapText="1"/>
    </xf>
    <xf numFmtId="14" fontId="9" fillId="0" borderId="2" xfId="0" applyNumberFormat="1" applyFont="1" applyBorder="1" applyAlignment="1">
      <alignment horizontal="center" wrapText="1"/>
    </xf>
    <xf numFmtId="0" fontId="9" fillId="0" borderId="2" xfId="0" applyFont="1" applyBorder="1" applyAlignment="1">
      <alignment wrapText="1"/>
    </xf>
    <xf numFmtId="164" fontId="9" fillId="0" borderId="0" xfId="1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164" fontId="9" fillId="0" borderId="2" xfId="0" applyNumberFormat="1" applyFont="1" applyBorder="1" applyAlignment="1">
      <alignment wrapText="1"/>
    </xf>
    <xf numFmtId="14" fontId="0" fillId="0" borderId="2" xfId="1" applyNumberFormat="1" applyFont="1" applyBorder="1" applyAlignment="1">
      <alignment horizontal="center"/>
    </xf>
    <xf numFmtId="17" fontId="9" fillId="0" borderId="2" xfId="0" applyNumberFormat="1" applyFont="1" applyBorder="1" applyAlignment="1">
      <alignment horizontal="center" wrapText="1"/>
    </xf>
  </cellXfs>
  <cellStyles count="3">
    <cellStyle name="Comma" xfId="1" builtinId="3"/>
    <cellStyle name="Comma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topLeftCell="B1" workbookViewId="0">
      <selection activeCell="C14" sqref="C14"/>
    </sheetView>
  </sheetViews>
  <sheetFormatPr defaultColWidth="9.140625" defaultRowHeight="14.25" x14ac:dyDescent="0.2"/>
  <cols>
    <col min="1" max="1" width="25.7109375" style="1" customWidth="1"/>
    <col min="2" max="2" width="24.140625" style="2" customWidth="1"/>
    <col min="3" max="3" width="40.42578125" style="2" customWidth="1"/>
    <col min="4" max="4" width="27.7109375" style="2" customWidth="1"/>
    <col min="5" max="5" width="28.7109375" style="2" customWidth="1"/>
    <col min="6" max="6" width="19.140625" style="2" customWidth="1"/>
    <col min="7" max="7" width="21.28515625" style="2" customWidth="1"/>
    <col min="8" max="8" width="18" style="1" customWidth="1"/>
    <col min="9" max="9" width="18" style="2" customWidth="1"/>
    <col min="10" max="10" width="15.42578125" style="2" customWidth="1"/>
    <col min="11" max="11" width="20.7109375" style="27" customWidth="1"/>
    <col min="12" max="12" width="14.85546875" style="2" customWidth="1"/>
    <col min="13" max="13" width="22.42578125" style="2" customWidth="1"/>
    <col min="14" max="14" width="19.42578125" style="2" customWidth="1"/>
    <col min="15" max="15" width="17.28515625" style="2" customWidth="1"/>
    <col min="16" max="16" width="24.140625" style="2" customWidth="1"/>
    <col min="17" max="16384" width="9.140625" style="2"/>
  </cols>
  <sheetData>
    <row r="1" spans="1:16" ht="18" x14ac:dyDescent="0.25">
      <c r="C1" s="3" t="s">
        <v>0</v>
      </c>
      <c r="E1" s="3"/>
      <c r="F1" s="1"/>
      <c r="G1" s="4"/>
      <c r="H1" s="3"/>
      <c r="I1" s="3"/>
      <c r="J1" s="5"/>
      <c r="K1" s="6"/>
    </row>
    <row r="2" spans="1:16" ht="18" x14ac:dyDescent="0.25">
      <c r="C2" s="3" t="s">
        <v>1</v>
      </c>
      <c r="D2" s="2" t="s">
        <v>2</v>
      </c>
      <c r="E2" s="3"/>
      <c r="F2" s="1"/>
      <c r="G2" s="4"/>
      <c r="H2" s="3"/>
      <c r="I2" s="3"/>
      <c r="J2" s="5"/>
      <c r="K2" s="6"/>
    </row>
    <row r="3" spans="1:16" ht="18" x14ac:dyDescent="0.25">
      <c r="C3" s="3" t="s">
        <v>26</v>
      </c>
      <c r="E3" s="3"/>
      <c r="F3" s="1"/>
      <c r="G3" s="4"/>
      <c r="H3" s="3"/>
      <c r="I3" s="3"/>
      <c r="J3" s="5"/>
      <c r="K3" s="6"/>
    </row>
    <row r="4" spans="1:16" x14ac:dyDescent="0.2">
      <c r="C4" s="1"/>
      <c r="E4" s="1"/>
      <c r="F4" s="1"/>
      <c r="G4" s="7"/>
      <c r="I4" s="1"/>
      <c r="K4" s="8"/>
    </row>
    <row r="5" spans="1:16" x14ac:dyDescent="0.2">
      <c r="A5" s="9"/>
      <c r="B5" s="10"/>
      <c r="C5" s="9"/>
      <c r="D5" s="9"/>
      <c r="E5" s="9"/>
      <c r="F5" s="9"/>
      <c r="G5" s="11"/>
      <c r="H5" s="9"/>
      <c r="I5" s="9"/>
      <c r="J5" s="10"/>
      <c r="K5" s="12"/>
      <c r="L5" s="10"/>
      <c r="M5" s="10"/>
      <c r="N5" s="10"/>
      <c r="O5" s="10"/>
      <c r="P5" s="10"/>
    </row>
    <row r="6" spans="1:16" ht="45" x14ac:dyDescent="0.2">
      <c r="A6" s="13" t="s">
        <v>3</v>
      </c>
      <c r="B6" s="13" t="s">
        <v>4</v>
      </c>
      <c r="C6" s="13" t="s">
        <v>5</v>
      </c>
      <c r="D6" s="14" t="s">
        <v>6</v>
      </c>
      <c r="E6" s="13" t="s">
        <v>7</v>
      </c>
      <c r="F6" s="13" t="s">
        <v>8</v>
      </c>
      <c r="G6" s="15" t="s">
        <v>9</v>
      </c>
      <c r="H6" s="13" t="s">
        <v>10</v>
      </c>
      <c r="I6" s="13" t="s">
        <v>11</v>
      </c>
      <c r="J6" s="14" t="s">
        <v>12</v>
      </c>
      <c r="K6" s="16" t="s">
        <v>13</v>
      </c>
      <c r="L6" s="14" t="s">
        <v>14</v>
      </c>
      <c r="M6" s="14" t="s">
        <v>15</v>
      </c>
      <c r="N6" s="14" t="s">
        <v>16</v>
      </c>
      <c r="O6" s="14" t="s">
        <v>17</v>
      </c>
      <c r="P6" s="14" t="s">
        <v>18</v>
      </c>
    </row>
    <row r="7" spans="1:16" ht="15" x14ac:dyDescent="0.2">
      <c r="A7" s="40">
        <v>44682</v>
      </c>
      <c r="B7" s="43" t="s">
        <v>19</v>
      </c>
      <c r="C7" s="43" t="s">
        <v>46</v>
      </c>
      <c r="D7" s="41" t="s">
        <v>38</v>
      </c>
      <c r="E7" s="28" t="s">
        <v>37</v>
      </c>
      <c r="F7" s="28" t="s">
        <v>19</v>
      </c>
      <c r="G7" s="39" t="s">
        <v>19</v>
      </c>
      <c r="H7" s="28">
        <v>9</v>
      </c>
      <c r="I7" s="28" t="s">
        <v>22</v>
      </c>
      <c r="J7" s="41">
        <v>9</v>
      </c>
      <c r="K7" s="42">
        <v>3789639.97</v>
      </c>
      <c r="L7" s="41" t="s">
        <v>22</v>
      </c>
      <c r="M7" s="44"/>
      <c r="N7" s="41"/>
      <c r="O7" s="41" t="s">
        <v>22</v>
      </c>
      <c r="P7" s="41" t="s">
        <v>22</v>
      </c>
    </row>
    <row r="8" spans="1:16" ht="15" x14ac:dyDescent="0.2">
      <c r="A8" s="40" t="s">
        <v>44</v>
      </c>
      <c r="B8" s="43" t="s">
        <v>19</v>
      </c>
      <c r="C8" s="43" t="s">
        <v>47</v>
      </c>
      <c r="D8" s="41" t="s">
        <v>23</v>
      </c>
      <c r="E8" s="28" t="s">
        <v>21</v>
      </c>
      <c r="F8" s="28" t="s">
        <v>19</v>
      </c>
      <c r="G8" s="39">
        <v>155000</v>
      </c>
      <c r="H8" s="28">
        <v>20</v>
      </c>
      <c r="I8" s="28" t="s">
        <v>22</v>
      </c>
      <c r="J8" s="41">
        <v>20</v>
      </c>
      <c r="K8" s="42">
        <v>31000</v>
      </c>
      <c r="L8" s="41" t="s">
        <v>22</v>
      </c>
      <c r="M8" s="44">
        <v>124000</v>
      </c>
      <c r="N8" s="41" t="s">
        <v>22</v>
      </c>
      <c r="O8" s="41" t="s">
        <v>22</v>
      </c>
      <c r="P8" s="41" t="s">
        <v>22</v>
      </c>
    </row>
    <row r="9" spans="1:16" ht="15" x14ac:dyDescent="0.2">
      <c r="A9" s="46">
        <v>44835</v>
      </c>
      <c r="B9" s="43" t="s">
        <v>19</v>
      </c>
      <c r="C9" s="43" t="s">
        <v>46</v>
      </c>
      <c r="D9" s="41" t="s">
        <v>38</v>
      </c>
      <c r="E9" s="28" t="s">
        <v>37</v>
      </c>
      <c r="F9" s="28" t="s">
        <v>19</v>
      </c>
      <c r="G9" s="39" t="s">
        <v>19</v>
      </c>
      <c r="H9" s="28">
        <v>9</v>
      </c>
      <c r="I9" s="28" t="s">
        <v>22</v>
      </c>
      <c r="J9" s="41">
        <v>9</v>
      </c>
      <c r="K9" s="42">
        <v>810495.32</v>
      </c>
      <c r="L9" s="41" t="s">
        <v>22</v>
      </c>
      <c r="M9" s="44"/>
      <c r="N9" s="41"/>
      <c r="O9" s="41" t="s">
        <v>22</v>
      </c>
      <c r="P9" s="41" t="s">
        <v>22</v>
      </c>
    </row>
    <row r="10" spans="1:16" ht="15.75" x14ac:dyDescent="0.25">
      <c r="A10" s="35">
        <v>44867</v>
      </c>
      <c r="B10" s="43" t="s">
        <v>19</v>
      </c>
      <c r="C10" s="18" t="s">
        <v>46</v>
      </c>
      <c r="D10" s="18" t="s">
        <v>24</v>
      </c>
      <c r="E10" s="18" t="s">
        <v>36</v>
      </c>
      <c r="F10" s="28" t="s">
        <v>19</v>
      </c>
      <c r="G10" s="37" t="s">
        <v>19</v>
      </c>
      <c r="H10" s="20">
        <v>9</v>
      </c>
      <c r="I10" s="28" t="s">
        <v>22</v>
      </c>
      <c r="J10" s="22">
        <v>9</v>
      </c>
      <c r="K10" s="23">
        <v>2026238.31</v>
      </c>
      <c r="L10" s="41" t="s">
        <v>22</v>
      </c>
      <c r="M10" s="25"/>
      <c r="N10" s="25"/>
      <c r="O10" s="41" t="s">
        <v>22</v>
      </c>
      <c r="P10" s="41" t="s">
        <v>22</v>
      </c>
    </row>
    <row r="11" spans="1:16" ht="15.75" x14ac:dyDescent="0.25">
      <c r="A11" s="35" t="s">
        <v>41</v>
      </c>
      <c r="B11" s="43" t="s">
        <v>19</v>
      </c>
      <c r="C11" s="36" t="s">
        <v>46</v>
      </c>
      <c r="D11" s="18" t="s">
        <v>45</v>
      </c>
      <c r="E11" s="34" t="s">
        <v>25</v>
      </c>
      <c r="F11" s="28" t="s">
        <v>19</v>
      </c>
      <c r="G11" s="19">
        <v>69120</v>
      </c>
      <c r="H11" s="20">
        <v>9</v>
      </c>
      <c r="I11" s="28" t="s">
        <v>22</v>
      </c>
      <c r="J11" s="22">
        <v>9</v>
      </c>
      <c r="K11" s="29">
        <v>6220.8</v>
      </c>
      <c r="L11" s="41" t="s">
        <v>22</v>
      </c>
      <c r="M11" s="25">
        <f>G11-K11</f>
        <v>62899.199999999997</v>
      </c>
      <c r="N11" s="25">
        <v>69120</v>
      </c>
      <c r="O11" s="25" t="s">
        <v>22</v>
      </c>
      <c r="P11" s="25" t="s">
        <v>22</v>
      </c>
    </row>
    <row r="12" spans="1:16" ht="15.75" x14ac:dyDescent="0.25">
      <c r="A12" s="35" t="s">
        <v>41</v>
      </c>
      <c r="B12" s="43" t="s">
        <v>19</v>
      </c>
      <c r="C12" s="17" t="s">
        <v>46</v>
      </c>
      <c r="D12" s="34" t="s">
        <v>42</v>
      </c>
      <c r="E12" s="34" t="s">
        <v>43</v>
      </c>
      <c r="F12" s="28" t="s">
        <v>19</v>
      </c>
      <c r="G12" s="38"/>
      <c r="H12" s="20">
        <v>9</v>
      </c>
      <c r="I12" s="28" t="s">
        <v>22</v>
      </c>
      <c r="J12" s="22">
        <v>9</v>
      </c>
      <c r="K12" s="23">
        <v>3234868.34</v>
      </c>
      <c r="L12" s="41" t="s">
        <v>22</v>
      </c>
      <c r="M12" s="25"/>
      <c r="N12" s="25"/>
      <c r="O12" s="25" t="s">
        <v>22</v>
      </c>
      <c r="P12" s="25" t="s">
        <v>22</v>
      </c>
    </row>
    <row r="13" spans="1:16" ht="15.75" x14ac:dyDescent="0.25">
      <c r="A13" s="35" t="s">
        <v>40</v>
      </c>
      <c r="B13" s="43" t="s">
        <v>19</v>
      </c>
      <c r="C13" s="35" t="s">
        <v>46</v>
      </c>
      <c r="D13" s="18" t="s">
        <v>48</v>
      </c>
      <c r="E13" s="35" t="s">
        <v>25</v>
      </c>
      <c r="F13" s="28" t="s">
        <v>19</v>
      </c>
      <c r="G13" s="38">
        <v>21600</v>
      </c>
      <c r="H13" s="20">
        <v>9</v>
      </c>
      <c r="I13" s="21" t="s">
        <v>22</v>
      </c>
      <c r="J13" s="22">
        <v>9</v>
      </c>
      <c r="K13" s="23">
        <v>1944</v>
      </c>
      <c r="L13" s="24" t="s">
        <v>22</v>
      </c>
      <c r="M13" s="25">
        <f>G13-K13</f>
        <v>19656</v>
      </c>
      <c r="N13" s="25">
        <v>21600</v>
      </c>
      <c r="O13" s="25" t="s">
        <v>22</v>
      </c>
      <c r="P13" s="25" t="s">
        <v>22</v>
      </c>
    </row>
    <row r="14" spans="1:16" ht="15.75" x14ac:dyDescent="0.25">
      <c r="A14" s="35" t="s">
        <v>39</v>
      </c>
      <c r="B14" s="43" t="s">
        <v>19</v>
      </c>
      <c r="C14" s="18" t="s">
        <v>20</v>
      </c>
      <c r="D14" s="18" t="s">
        <v>32</v>
      </c>
      <c r="E14" s="35" t="s">
        <v>21</v>
      </c>
      <c r="F14" s="28" t="s">
        <v>19</v>
      </c>
      <c r="G14" s="19">
        <v>7000</v>
      </c>
      <c r="H14" s="26">
        <v>12.5</v>
      </c>
      <c r="I14" s="21" t="s">
        <v>22</v>
      </c>
      <c r="J14" s="22">
        <v>12.5</v>
      </c>
      <c r="K14" s="29">
        <v>875</v>
      </c>
      <c r="L14" s="24" t="s">
        <v>22</v>
      </c>
      <c r="M14" s="25">
        <f>G14-K14</f>
        <v>6125</v>
      </c>
      <c r="N14" s="18">
        <v>7000</v>
      </c>
      <c r="O14" s="28" t="s">
        <v>22</v>
      </c>
      <c r="P14" s="28" t="s">
        <v>22</v>
      </c>
    </row>
    <row r="15" spans="1:16" ht="15.75" x14ac:dyDescent="0.25">
      <c r="A15" s="45" t="s">
        <v>27</v>
      </c>
      <c r="B15" s="2" t="s">
        <v>19</v>
      </c>
      <c r="C15" s="18" t="s">
        <v>30</v>
      </c>
      <c r="D15" s="18" t="s">
        <v>32</v>
      </c>
      <c r="E15" s="33" t="s">
        <v>35</v>
      </c>
      <c r="F15" s="30" t="s">
        <v>19</v>
      </c>
      <c r="G15" s="29">
        <v>250000</v>
      </c>
      <c r="H15" s="26">
        <v>20</v>
      </c>
      <c r="I15" s="21" t="s">
        <v>22</v>
      </c>
      <c r="J15" s="22">
        <v>20</v>
      </c>
      <c r="K15" s="31">
        <v>50000</v>
      </c>
      <c r="L15" s="24" t="s">
        <v>22</v>
      </c>
      <c r="M15" s="32">
        <f>G15-K15</f>
        <v>200000</v>
      </c>
      <c r="N15" s="28">
        <v>250000</v>
      </c>
      <c r="O15" s="28" t="s">
        <v>22</v>
      </c>
      <c r="P15" s="28" t="s">
        <v>22</v>
      </c>
    </row>
    <row r="16" spans="1:16" ht="15.75" x14ac:dyDescent="0.25">
      <c r="A16" s="45" t="s">
        <v>28</v>
      </c>
      <c r="B16" s="2" t="s">
        <v>19</v>
      </c>
      <c r="C16" s="2" t="s">
        <v>30</v>
      </c>
      <c r="D16" t="s">
        <v>33</v>
      </c>
      <c r="E16" s="33" t="s">
        <v>21</v>
      </c>
      <c r="F16" s="30" t="s">
        <v>19</v>
      </c>
      <c r="G16" s="2">
        <v>10000</v>
      </c>
      <c r="H16" s="1">
        <v>20</v>
      </c>
      <c r="I16" s="21" t="s">
        <v>22</v>
      </c>
      <c r="J16" s="2">
        <v>20</v>
      </c>
      <c r="K16" s="27">
        <v>2000</v>
      </c>
      <c r="L16" s="24" t="s">
        <v>22</v>
      </c>
      <c r="M16" s="32">
        <f t="shared" ref="M16:M17" si="0">G16-K16</f>
        <v>8000</v>
      </c>
      <c r="N16" s="2">
        <v>10000</v>
      </c>
      <c r="O16" s="28" t="s">
        <v>22</v>
      </c>
      <c r="P16" s="28" t="s">
        <v>22</v>
      </c>
    </row>
    <row r="17" spans="1:16" ht="15.75" x14ac:dyDescent="0.25">
      <c r="A17" s="45" t="s">
        <v>29</v>
      </c>
      <c r="B17" s="2" t="s">
        <v>19</v>
      </c>
      <c r="C17" s="2" t="s">
        <v>31</v>
      </c>
      <c r="D17" s="2" t="s">
        <v>34</v>
      </c>
      <c r="E17" s="33" t="s">
        <v>36</v>
      </c>
      <c r="F17" s="30" t="s">
        <v>19</v>
      </c>
      <c r="G17" s="2">
        <v>838713.3</v>
      </c>
      <c r="H17" s="1" t="s">
        <v>19</v>
      </c>
      <c r="I17" s="21" t="s">
        <v>22</v>
      </c>
      <c r="J17" s="2" t="s">
        <v>19</v>
      </c>
      <c r="K17" s="29">
        <v>150968.39000000001</v>
      </c>
      <c r="L17" s="24" t="s">
        <v>22</v>
      </c>
      <c r="M17" s="32">
        <f t="shared" si="0"/>
        <v>687744.91</v>
      </c>
      <c r="N17" s="2" t="s">
        <v>22</v>
      </c>
      <c r="O17" s="28" t="s">
        <v>22</v>
      </c>
      <c r="P17" s="28" t="s">
        <v>22</v>
      </c>
    </row>
    <row r="18" spans="1:16" ht="15" x14ac:dyDescent="0.2">
      <c r="P18" s="2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WORLDMARK INSURANCE</dc:creator>
  <cp:lastModifiedBy>USER</cp:lastModifiedBy>
  <dcterms:created xsi:type="dcterms:W3CDTF">2021-07-27T18:02:09Z</dcterms:created>
  <dcterms:modified xsi:type="dcterms:W3CDTF">2022-12-16T12:30:25Z</dcterms:modified>
</cp:coreProperties>
</file>